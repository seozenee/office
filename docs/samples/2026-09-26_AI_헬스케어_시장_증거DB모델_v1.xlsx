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Claim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3" hidden="1">'Claims'!$A$1:$J$18</definedName>
    <definedName name="_xlnm._FilterDatabase" localSheetId="4" hidden="1">'Sources'!$A$1:$K$8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FF4E0"/>
      </patternFill>
    </fill>
    <fill>
      <patternFill patternType="solid">
        <fgColor rgb="00E7F0FF"/>
      </patternFill>
    </fill>
    <fill>
      <patternFill patternType="solid">
        <fgColor rgb="00E6F4EA"/>
      </patternFill>
    </fill>
    <fill>
      <patternFill patternType="solid">
        <fgColor rgb="00F1E8FA"/>
      </patternFill>
    </fill>
    <fill>
      <patternFill patternType="solid">
        <fgColor rgb="001B2A4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 / 영업이익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'Model'!$A$4:$A$8</f>
            </numRef>
          </cat>
          <val>
            <numRef>
              <f>'Model'!$E$4:$E$8</f>
            </numRef>
          </val>
        </ser>
        <ser>
          <idx val="1"/>
          <order val="1"/>
          <tx>
            <strRef>
              <f>'Model'!I3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'Model'!$A$4:$A$8</f>
            </numRef>
          </cat>
          <val>
            <numRef>
              <f>'Model'!$I$4:$I$8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고객 수</a:t>
            </a:r>
          </a:p>
        </rich>
      </tx>
    </title>
    <plotArea>
      <lineChart>
        <grouping val="standard"/>
        <ser>
          <idx val="0"/>
          <order val="0"/>
          <tx>
            <strRef>
              <f>'Model'!B3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'Model'!$A$4:$A$8</f>
            </numRef>
          </cat>
          <val>
            <numRef>
              <f>'Model'!$B$4:$B$8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51" customWidth="1" min="2" max="2"/>
  </cols>
  <sheetData>
    <row r="1">
      <c r="A1" s="1" t="inlineStr">
        <is>
          <t>AI 헬스케어 시장 — 증거 데이터베이스</t>
        </is>
      </c>
    </row>
    <row r="2"/>
    <row r="3">
      <c r="A3" s="2" t="inlineStr">
        <is>
          <t>목표</t>
        </is>
      </c>
      <c r="B3" t="inlineStr">
        <is>
          <t>AI 헬스케어 시장을 조사해서 새로운 사업 아이디어를 만들고 투자자용 PPT까지 만들어줘</t>
        </is>
      </c>
    </row>
    <row r="4">
      <c r="A4" s="2" t="inlineStr">
        <is>
          <t>검증된 주장</t>
        </is>
      </c>
      <c r="B4" t="n">
        <v>14</v>
      </c>
    </row>
    <row r="5">
      <c r="A5" s="2" t="inlineStr">
        <is>
          <t>전체 주장</t>
        </is>
      </c>
      <c r="B5" t="n">
        <v>17</v>
      </c>
    </row>
    <row r="6">
      <c r="A6" s="2" t="inlineStr">
        <is>
          <t>원문 확인 출처</t>
        </is>
      </c>
      <c r="B6" t="n">
        <v>6</v>
      </c>
    </row>
    <row r="7">
      <c r="A7" s="2" t="inlineStr">
        <is>
          <t>접근 실패</t>
        </is>
      </c>
      <c r="B7" t="n">
        <v>1</v>
      </c>
    </row>
    <row r="8"/>
    <row r="9">
      <c r="A9" s="2" t="inlineStr">
        <is>
          <t>표기 규칙</t>
        </is>
      </c>
    </row>
    <row r="10">
      <c r="A10" s="3" t="inlineStr">
        <is>
          <t>ASSUMPTION</t>
        </is>
      </c>
    </row>
    <row r="11">
      <c r="A11" s="4" t="inlineStr">
        <is>
          <t>USER INPUT</t>
        </is>
      </c>
    </row>
    <row r="12">
      <c r="A12" s="5" t="inlineStr">
        <is>
          <t>SOURCE</t>
        </is>
      </c>
    </row>
    <row r="13">
      <c r="A13" s="6" t="inlineStr">
        <is>
          <t>ESTIMATE</t>
        </is>
      </c>
    </row>
    <row r="14">
      <c r="A14" s="5" t="inlineStr">
        <is>
          <t>FACT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1" customWidth="1" min="3" max="3"/>
    <col width="8" customWidth="1" min="4" max="4"/>
    <col width="12" customWidth="1" min="5" max="5"/>
    <col width="8" customWidth="1" min="6" max="6"/>
    <col width="11" customWidth="1" min="7" max="7"/>
  </cols>
  <sheetData>
    <row r="1">
      <c r="A1" s="7" t="inlineStr">
        <is>
          <t>Key</t>
        </is>
      </c>
      <c r="B1" s="7" t="inlineStr">
        <is>
          <t>항목</t>
        </is>
      </c>
      <c r="C1" s="7" t="inlineStr">
        <is>
          <t>값</t>
        </is>
      </c>
      <c r="D1" s="7" t="inlineStr">
        <is>
          <t>단위</t>
        </is>
      </c>
      <c r="E1" s="7" t="inlineStr">
        <is>
          <t>구분</t>
        </is>
      </c>
      <c r="F1" s="7" t="inlineStr">
        <is>
          <t>출처</t>
        </is>
      </c>
      <c r="G1" s="7" t="inlineStr">
        <is>
          <t>비고</t>
        </is>
      </c>
    </row>
    <row r="2">
      <c r="A2" s="8" t="inlineStr">
        <is>
          <t>customers_y1</t>
        </is>
      </c>
      <c r="B2" s="8" t="inlineStr">
        <is>
          <t>1년차 유료 고객 수</t>
        </is>
      </c>
      <c r="C2" s="9" t="n">
        <v>200</v>
      </c>
      <c r="D2" s="8" t="inlineStr">
        <is>
          <t>명</t>
        </is>
      </c>
      <c r="E2" s="10" t="inlineStr">
        <is>
          <t>ASSUMPTION</t>
        </is>
      </c>
      <c r="F2" s="8" t="inlineStr"/>
      <c r="G2" s="8" t="inlineStr">
        <is>
          <t>사용자 검토 필요</t>
        </is>
      </c>
    </row>
    <row r="3">
      <c r="A3" s="8" t="inlineStr">
        <is>
          <t>customer_growth</t>
        </is>
      </c>
      <c r="B3" s="8" t="inlineStr">
        <is>
          <t>연간 고객 성장률</t>
        </is>
      </c>
      <c r="C3" s="11" t="n">
        <v>0.6</v>
      </c>
      <c r="D3" s="8" t="inlineStr">
        <is>
          <t>%</t>
        </is>
      </c>
      <c r="E3" s="10" t="inlineStr">
        <is>
          <t>ASSUMPTION</t>
        </is>
      </c>
      <c r="F3" s="8" t="inlineStr"/>
      <c r="G3" s="8" t="inlineStr"/>
    </row>
    <row r="4">
      <c r="A4" s="8" t="inlineStr">
        <is>
          <t>arpu</t>
        </is>
      </c>
      <c r="B4" s="8" t="inlineStr">
        <is>
          <t>고객당 연 매출(ARPU)</t>
        </is>
      </c>
      <c r="C4" s="9" t="n">
        <v>1200000</v>
      </c>
      <c r="D4" s="8" t="inlineStr">
        <is>
          <t>원</t>
        </is>
      </c>
      <c r="E4" s="10" t="inlineStr">
        <is>
          <t>ASSUMPTION</t>
        </is>
      </c>
      <c r="F4" s="8" t="inlineStr"/>
      <c r="G4" s="8" t="inlineStr"/>
    </row>
    <row r="5">
      <c r="A5" s="8" t="inlineStr">
        <is>
          <t>price_growth</t>
        </is>
      </c>
      <c r="B5" s="8" t="inlineStr">
        <is>
          <t>연간 가격 인상률</t>
        </is>
      </c>
      <c r="C5" s="11" t="n">
        <v>0.03</v>
      </c>
      <c r="D5" s="8" t="inlineStr">
        <is>
          <t>%</t>
        </is>
      </c>
      <c r="E5" s="10" t="inlineStr">
        <is>
          <t>ASSUMPTION</t>
        </is>
      </c>
      <c r="F5" s="8" t="inlineStr"/>
      <c r="G5" s="8" t="inlineStr"/>
    </row>
    <row r="6">
      <c r="A6" s="8" t="inlineStr">
        <is>
          <t>gross_margin</t>
        </is>
      </c>
      <c r="B6" s="8" t="inlineStr">
        <is>
          <t>매출총이익률</t>
        </is>
      </c>
      <c r="C6" s="11" t="n">
        <v>0.7</v>
      </c>
      <c r="D6" s="8" t="inlineStr">
        <is>
          <t>%</t>
        </is>
      </c>
      <c r="E6" s="10" t="inlineStr">
        <is>
          <t>ASSUMPTION</t>
        </is>
      </c>
      <c r="F6" s="8" t="inlineStr"/>
      <c r="G6" s="8" t="inlineStr"/>
    </row>
    <row r="7">
      <c r="A7" s="8" t="inlineStr">
        <is>
          <t>fixed_costs_y1</t>
        </is>
      </c>
      <c r="B7" s="8" t="inlineStr">
        <is>
          <t>1년차 고정비</t>
        </is>
      </c>
      <c r="C7" s="9" t="n">
        <v>300000000</v>
      </c>
      <c r="D7" s="8" t="inlineStr">
        <is>
          <t>원</t>
        </is>
      </c>
      <c r="E7" s="10" t="inlineStr">
        <is>
          <t>ASSUMPTION</t>
        </is>
      </c>
      <c r="F7" s="8" t="inlineStr"/>
      <c r="G7" s="8" t="inlineStr"/>
    </row>
    <row r="8">
      <c r="A8" s="8" t="inlineStr">
        <is>
          <t>fixed_cost_growth</t>
        </is>
      </c>
      <c r="B8" s="8" t="inlineStr">
        <is>
          <t>고정비 증가율</t>
        </is>
      </c>
      <c r="C8" s="11" t="n">
        <v>0.25</v>
      </c>
      <c r="D8" s="8" t="inlineStr">
        <is>
          <t>%</t>
        </is>
      </c>
      <c r="E8" s="10" t="inlineStr">
        <is>
          <t>ASSUMPTION</t>
        </is>
      </c>
      <c r="F8" s="8" t="inlineStr"/>
      <c r="G8" s="8" t="inlineStr"/>
    </row>
    <row r="9">
      <c r="A9" s="8" t="inlineStr">
        <is>
          <t>cac</t>
        </is>
      </c>
      <c r="B9" s="8" t="inlineStr">
        <is>
          <t>고객 획득 비용(CAC)</t>
        </is>
      </c>
      <c r="C9" s="9" t="n">
        <v>400000</v>
      </c>
      <c r="D9" s="8" t="inlineStr">
        <is>
          <t>원</t>
        </is>
      </c>
      <c r="E9" s="10" t="inlineStr">
        <is>
          <t>ASSUMPTION</t>
        </is>
      </c>
      <c r="F9" s="8" t="inlineStr"/>
      <c r="G9" s="8" t="inlineStr"/>
    </row>
    <row r="10">
      <c r="A10" s="8" t="inlineStr">
        <is>
          <t>churn</t>
        </is>
      </c>
      <c r="B10" s="8" t="inlineStr">
        <is>
          <t>연간 이탈률</t>
        </is>
      </c>
      <c r="C10" s="11" t="n">
        <v>0.2</v>
      </c>
      <c r="D10" s="8" t="inlineStr">
        <is>
          <t>%</t>
        </is>
      </c>
      <c r="E10" s="10" t="inlineStr">
        <is>
          <t>ASSUMPTION</t>
        </is>
      </c>
      <c r="F10" s="8" t="inlineStr"/>
      <c r="G1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8" customWidth="1" min="5" max="5"/>
    <col width="18" customWidth="1" min="6" max="6"/>
    <col width="18" customWidth="1" min="7" max="7"/>
    <col width="18" customWidth="1" min="8" max="8"/>
    <col width="11" customWidth="1" min="9" max="9"/>
    <col width="9" customWidth="1" min="10" max="10"/>
  </cols>
  <sheetData>
    <row r="1">
      <c r="A1" s="12" t="inlineStr">
        <is>
          <t>재무 모델 (모든 값은 Assumptions 시트의 가정에서 수식으로 계산됨)</t>
        </is>
      </c>
    </row>
    <row r="2"/>
    <row r="3">
      <c r="A3" s="7" t="inlineStr">
        <is>
          <t>연도</t>
        </is>
      </c>
      <c r="B3" s="7" t="inlineStr">
        <is>
          <t>고객 수</t>
        </is>
      </c>
      <c r="C3" s="7" t="inlineStr">
        <is>
          <t>신규 고객</t>
        </is>
      </c>
      <c r="D3" s="7" t="inlineStr">
        <is>
          <t>ARPU</t>
        </is>
      </c>
      <c r="E3" s="7" t="inlineStr">
        <is>
          <t>매출</t>
        </is>
      </c>
      <c r="F3" s="7" t="inlineStr">
        <is>
          <t>매출총이익</t>
        </is>
      </c>
      <c r="G3" s="7" t="inlineStr">
        <is>
          <t>고정비</t>
        </is>
      </c>
      <c r="H3" s="7" t="inlineStr">
        <is>
          <t>고객획득비</t>
        </is>
      </c>
      <c r="I3" s="7" t="inlineStr">
        <is>
          <t>영업이익</t>
        </is>
      </c>
      <c r="J3" s="7" t="inlineStr">
        <is>
          <t>누적 영업이익</t>
        </is>
      </c>
    </row>
    <row r="4">
      <c r="A4" s="8" t="n">
        <v>1</v>
      </c>
      <c r="B4" s="9">
        <f>Assumptions!$C$2</f>
        <v/>
      </c>
      <c r="C4" s="9">
        <f>MAX(B4,0)</f>
        <v/>
      </c>
      <c r="D4" s="9">
        <f>Assumptions!$C$4</f>
        <v/>
      </c>
      <c r="E4" s="9">
        <f>B4*D4</f>
        <v/>
      </c>
      <c r="F4" s="9">
        <f>E4*Assumptions!$C$6</f>
        <v/>
      </c>
      <c r="G4" s="9">
        <f>Assumptions!$C$7</f>
        <v/>
      </c>
      <c r="H4" s="9">
        <f>C4*Assumptions!$C$9</f>
        <v/>
      </c>
      <c r="I4" s="9">
        <f>F4-G4-H4</f>
        <v/>
      </c>
      <c r="J4" s="9">
        <f>I4</f>
        <v/>
      </c>
    </row>
    <row r="5">
      <c r="A5" s="8" t="n">
        <v>2</v>
      </c>
      <c r="B5" s="9">
        <f>B4*(1+Assumptions!$C$3)</f>
        <v/>
      </c>
      <c r="C5" s="9">
        <f>MAX(B5-B4*(1-Assumptions!$C$10),0)</f>
        <v/>
      </c>
      <c r="D5" s="9">
        <f>D4*(1+Assumptions!$C$5)</f>
        <v/>
      </c>
      <c r="E5" s="9">
        <f>B5*D5</f>
        <v/>
      </c>
      <c r="F5" s="9">
        <f>E5*Assumptions!$C$6</f>
        <v/>
      </c>
      <c r="G5" s="9">
        <f>G4*(1+Assumptions!$C$8)</f>
        <v/>
      </c>
      <c r="H5" s="9">
        <f>C5*Assumptions!$C$9</f>
        <v/>
      </c>
      <c r="I5" s="9">
        <f>F5-G5-H5</f>
        <v/>
      </c>
      <c r="J5" s="9">
        <f>J4+I5</f>
        <v/>
      </c>
    </row>
    <row r="6">
      <c r="A6" s="8" t="n">
        <v>3</v>
      </c>
      <c r="B6" s="9">
        <f>B5*(1+Assumptions!$C$3)</f>
        <v/>
      </c>
      <c r="C6" s="9">
        <f>MAX(B6-B5*(1-Assumptions!$C$10),0)</f>
        <v/>
      </c>
      <c r="D6" s="9">
        <f>D5*(1+Assumptions!$C$5)</f>
        <v/>
      </c>
      <c r="E6" s="9">
        <f>B6*D6</f>
        <v/>
      </c>
      <c r="F6" s="9">
        <f>E6*Assumptions!$C$6</f>
        <v/>
      </c>
      <c r="G6" s="9">
        <f>G5*(1+Assumptions!$C$8)</f>
        <v/>
      </c>
      <c r="H6" s="9">
        <f>C6*Assumptions!$C$9</f>
        <v/>
      </c>
      <c r="I6" s="9">
        <f>F6-G6-H6</f>
        <v/>
      </c>
      <c r="J6" s="9">
        <f>J5+I6</f>
        <v/>
      </c>
    </row>
    <row r="7">
      <c r="A7" s="8" t="n">
        <v>4</v>
      </c>
      <c r="B7" s="9">
        <f>B6*(1+Assumptions!$C$3)</f>
        <v/>
      </c>
      <c r="C7" s="9">
        <f>MAX(B7-B6*(1-Assumptions!$C$10),0)</f>
        <v/>
      </c>
      <c r="D7" s="9">
        <f>D6*(1+Assumptions!$C$5)</f>
        <v/>
      </c>
      <c r="E7" s="9">
        <f>B7*D7</f>
        <v/>
      </c>
      <c r="F7" s="9">
        <f>E7*Assumptions!$C$6</f>
        <v/>
      </c>
      <c r="G7" s="9">
        <f>G6*(1+Assumptions!$C$8)</f>
        <v/>
      </c>
      <c r="H7" s="9">
        <f>C7*Assumptions!$C$9</f>
        <v/>
      </c>
      <c r="I7" s="9">
        <f>F7-G7-H7</f>
        <v/>
      </c>
      <c r="J7" s="9">
        <f>J6+I7</f>
        <v/>
      </c>
    </row>
    <row r="8">
      <c r="A8" s="8" t="n">
        <v>5</v>
      </c>
      <c r="B8" s="9">
        <f>B7*(1+Assumptions!$C$3)</f>
        <v/>
      </c>
      <c r="C8" s="9">
        <f>MAX(B8-B7*(1-Assumptions!$C$10),0)</f>
        <v/>
      </c>
      <c r="D8" s="9">
        <f>D7*(1+Assumptions!$C$5)</f>
        <v/>
      </c>
      <c r="E8" s="9">
        <f>B8*D8</f>
        <v/>
      </c>
      <c r="F8" s="9">
        <f>E8*Assumptions!$C$6</f>
        <v/>
      </c>
      <c r="G8" s="9">
        <f>G7*(1+Assumptions!$C$8)</f>
        <v/>
      </c>
      <c r="H8" s="9">
        <f>C8*Assumptions!$C$9</f>
        <v/>
      </c>
      <c r="I8" s="9">
        <f>F8-G8-H8</f>
        <v/>
      </c>
      <c r="J8" s="9">
        <f>J7+I8</f>
        <v/>
      </c>
    </row>
    <row r="9"/>
    <row r="10">
      <c r="A10" s="2" t="inlineStr">
        <is>
          <t>LTV</t>
        </is>
      </c>
      <c r="B10" s="13">
        <f>Assumptions!$C$4*Assumptions!$C$6*(1/Assumptions!$C$10)</f>
        <v/>
      </c>
    </row>
    <row r="11">
      <c r="A11" s="2" t="inlineStr">
        <is>
          <t>LTV/CAC</t>
        </is>
      </c>
      <c r="B11" s="14">
        <f>B10/Assumptions!$C$9</f>
        <v/>
      </c>
    </row>
    <row r="12">
      <c r="A12" s="2" t="inlineStr">
        <is>
          <t>CAC 회수기간(월)</t>
        </is>
      </c>
      <c r="B12" s="15">
        <f>Assumptions!$C$9/(Assumptions!$C$4*Assumptions!$C$6/12)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70" customWidth="1" min="9" max="9"/>
    <col width="40" customWidth="1" min="10" max="10"/>
  </cols>
  <sheetData>
    <row r="1">
      <c r="A1" s="7" t="inlineStr">
        <is>
          <t>ID</t>
        </is>
      </c>
      <c r="B1" s="7" t="inlineStr">
        <is>
          <t>구분</t>
        </is>
      </c>
      <c r="C1" s="7" t="inlineStr">
        <is>
          <t>주장</t>
        </is>
      </c>
      <c r="D1" s="7" t="inlineStr">
        <is>
          <t>검증 상태</t>
        </is>
      </c>
      <c r="E1" s="7" t="inlineStr">
        <is>
          <t>신뢰도</t>
        </is>
      </c>
      <c r="F1" s="7" t="inlineStr">
        <is>
          <t>출처 번호</t>
        </is>
      </c>
      <c r="G1" s="7" t="inlineStr">
        <is>
          <t>출처 ID</t>
        </is>
      </c>
      <c r="H1" s="7" t="inlineStr">
        <is>
          <t>페이지</t>
        </is>
      </c>
      <c r="I1" s="7" t="inlineStr">
        <is>
          <t>인용문</t>
        </is>
      </c>
      <c r="J1" s="7" t="inlineStr">
        <is>
          <t>검증 메모</t>
        </is>
      </c>
    </row>
    <row r="2">
      <c r="A2" s="16" t="n">
        <v>1</v>
      </c>
      <c r="B2" s="16" t="inlineStr">
        <is>
          <t>FACT</t>
        </is>
      </c>
      <c r="C2" s="17" t="inlineStr">
        <is>
          <t>국내 AI 헬스케어 시장 규모는 2024년 1조 2,000억원으로 집계되었다.</t>
        </is>
      </c>
      <c r="D2" s="16" t="inlineStr">
        <is>
          <t>verified</t>
        </is>
      </c>
      <c r="E2" s="16" t="n">
        <v>0.99</v>
      </c>
      <c r="F2" s="16" t="n">
        <v>1</v>
      </c>
      <c r="G2" s="16" t="n">
        <v>1</v>
      </c>
      <c r="H2" s="16" t="n">
        <v>1</v>
      </c>
      <c r="I2" s="17" t="inlineStr">
        <is>
          <t>국내 AI 헬스케어 시장 규모는 2024년 1조 2,000억원으로 집계되었다.</t>
        </is>
      </c>
      <c r="J2" s="16" t="inlineStr">
        <is>
          <t>저등급 출처(#7)와 수치 상이 — 교차 확인된 이 수치를 채택</t>
        </is>
      </c>
    </row>
    <row r="3">
      <c r="A3" s="16" t="n">
        <v>2</v>
      </c>
      <c r="B3" s="16" t="inlineStr">
        <is>
          <t>ESTIMATE</t>
        </is>
      </c>
      <c r="C3" s="17" t="inlineStr">
        <is>
          <t>정부는 국내 AI 헬스케어 시장 규모가 2028년 3조 5,000억원에 이를 것으로 전망했다.</t>
        </is>
      </c>
      <c r="D3" s="16" t="inlineStr">
        <is>
          <t>verified</t>
        </is>
      </c>
      <c r="E3" s="16" t="n">
        <v>0.99</v>
      </c>
      <c r="F3" s="16" t="n">
        <v>1</v>
      </c>
      <c r="G3" s="16" t="n">
        <v>1</v>
      </c>
      <c r="H3" s="16" t="n">
        <v>1</v>
      </c>
      <c r="I3" s="17" t="inlineStr">
        <is>
          <t>정부는 국내 AI 헬스케어 시장 규모가 2028년 3조 5,000억원에 이를 것으로 전망했다.</t>
        </is>
      </c>
      <c r="J3" s="16" t="inlineStr"/>
    </row>
    <row r="4">
      <c r="A4" s="16" t="n">
        <v>3</v>
      </c>
      <c r="B4" s="16" t="inlineStr">
        <is>
          <t>FACT</t>
        </is>
      </c>
      <c r="C4" s="17" t="inlineStr">
        <is>
          <t>보건복지부는 2025년 3월 10일 AI 헬스케어 산업 육성 방안을 발표했다.</t>
        </is>
      </c>
      <c r="D4" s="16" t="inlineStr">
        <is>
          <t>verified</t>
        </is>
      </c>
      <c r="E4" s="16" t="n">
        <v>0.99</v>
      </c>
      <c r="F4" s="16" t="n">
        <v>1</v>
      </c>
      <c r="G4" s="16" t="n">
        <v>1</v>
      </c>
      <c r="H4" s="16" t="n">
        <v>1</v>
      </c>
      <c r="I4" s="17" t="inlineStr">
        <is>
          <t>보건복지부는 2025년 3월 10일 AI 헬스케어 산업 육성 방안을 발표했다.</t>
        </is>
      </c>
      <c r="J4" s="16" t="inlineStr"/>
    </row>
    <row r="5">
      <c r="A5" s="16" t="n">
        <v>4</v>
      </c>
      <c r="B5" s="16" t="inlineStr">
        <is>
          <t>FACT</t>
        </is>
      </c>
      <c r="C5" s="16" t="inlineStr">
        <is>
          <t>의료 현장의 인력 부족 문제가 AI 도입의 주요 배경으로 지적되었다.</t>
        </is>
      </c>
      <c r="D5" s="16" t="inlineStr">
        <is>
          <t>verified</t>
        </is>
      </c>
      <c r="E5" s="16" t="n">
        <v>0.99</v>
      </c>
      <c r="F5" s="16" t="n">
        <v>1</v>
      </c>
      <c r="G5" s="16" t="n">
        <v>1</v>
      </c>
      <c r="H5" s="16" t="n">
        <v>1</v>
      </c>
      <c r="I5" s="16" t="inlineStr">
        <is>
          <t>의료 현장의 인력 부족 문제가 AI 도입의 주요 배경으로 지적되었다.</t>
        </is>
      </c>
      <c r="J5" s="16" t="inlineStr"/>
    </row>
    <row r="6">
      <c r="A6" s="16" t="n">
        <v>5</v>
      </c>
      <c r="B6" s="16" t="inlineStr">
        <is>
          <t>FACT</t>
        </is>
      </c>
      <c r="C6" s="16" t="inlineStr">
        <is>
          <t>정부는 개인정보 보호 규제와 의료기기 인허가 절차를 개선할 계획이다.</t>
        </is>
      </c>
      <c r="D6" s="16" t="inlineStr">
        <is>
          <t>verified</t>
        </is>
      </c>
      <c r="E6" s="16" t="n">
        <v>0.99</v>
      </c>
      <c r="F6" s="16" t="n">
        <v>1</v>
      </c>
      <c r="G6" s="16" t="n">
        <v>1</v>
      </c>
      <c r="H6" s="16" t="n">
        <v>1</v>
      </c>
      <c r="I6" s="16" t="inlineStr">
        <is>
          <t>정부는 개인정보 보호 규제와 의료기기 인허가 절차를 개선할 계획이다.</t>
        </is>
      </c>
      <c r="J6" s="16" t="inlineStr"/>
    </row>
    <row r="7">
      <c r="A7" s="16" t="n">
        <v>6</v>
      </c>
      <c r="B7" s="16" t="inlineStr">
        <is>
          <t>FACT</t>
        </is>
      </c>
      <c r="C7" s="17" t="inlineStr">
        <is>
          <t>국내 AI 헬스케어 시장 규모는 2023년 9,500억원에서 2024년 1조 2,000억원으로 성장하였다.</t>
        </is>
      </c>
      <c r="D7" s="16" t="inlineStr">
        <is>
          <t>verified</t>
        </is>
      </c>
      <c r="E7" s="16" t="n">
        <v>0.99</v>
      </c>
      <c r="F7" s="16" t="n">
        <v>2</v>
      </c>
      <c r="G7" s="16" t="n">
        <v>2</v>
      </c>
      <c r="H7" s="16" t="n">
        <v>1</v>
      </c>
      <c r="I7" s="17" t="inlineStr">
        <is>
          <t>국내 AI 헬스케어 시장 규모는 2023년 9,500억원에서 2024년 1조 2,000억원으로 성장하였다.</t>
        </is>
      </c>
      <c r="J7" s="16" t="inlineStr"/>
    </row>
    <row r="8">
      <c r="A8" s="16" t="n">
        <v>7</v>
      </c>
      <c r="B8" s="16" t="inlineStr">
        <is>
          <t>FACT</t>
        </is>
      </c>
      <c r="C8" s="17" t="inlineStr">
        <is>
          <t>AI 헬스케어 스타트업의 주요 비즈니스 모델은 병원 대상 구독형 소프트웨어이다.</t>
        </is>
      </c>
      <c r="D8" s="16" t="inlineStr">
        <is>
          <t>verified</t>
        </is>
      </c>
      <c r="E8" s="16" t="n">
        <v>0.99</v>
      </c>
      <c r="F8" s="16" t="n">
        <v>2</v>
      </c>
      <c r="G8" s="16" t="n">
        <v>2</v>
      </c>
      <c r="H8" s="16" t="n">
        <v>2</v>
      </c>
      <c r="I8" s="17" t="inlineStr">
        <is>
          <t>AI 헬스케어 스타트업의 주요 비즈니스 모델은 병원 대상 구독형 소프트웨어이다.</t>
        </is>
      </c>
      <c r="J8" s="16" t="inlineStr"/>
    </row>
    <row r="9">
      <c r="A9" s="16" t="n">
        <v>8</v>
      </c>
      <c r="B9" s="16" t="inlineStr">
        <is>
          <t>ESTIMATE</t>
        </is>
      </c>
      <c r="C9" s="16" t="inlineStr">
        <is>
          <t>보고서는 AI 헬스케어 시장이 연평균 30% 성장할 것으로 추정한다.</t>
        </is>
      </c>
      <c r="D9" s="16" t="inlineStr">
        <is>
          <t>verified</t>
        </is>
      </c>
      <c r="E9" s="16" t="n">
        <v>0.99</v>
      </c>
      <c r="F9" s="16" t="n">
        <v>2</v>
      </c>
      <c r="G9" s="16" t="n">
        <v>2</v>
      </c>
      <c r="H9" s="16" t="n">
        <v>3</v>
      </c>
      <c r="I9" s="16" t="inlineStr">
        <is>
          <t>보고서는 AI 헬스케어 시장이 연평균 30% 성장할 것으로 추정한다.</t>
        </is>
      </c>
      <c r="J9" s="16" t="inlineStr"/>
    </row>
    <row r="10">
      <c r="A10" s="16" t="n">
        <v>9</v>
      </c>
      <c r="B10" s="16" t="inlineStr">
        <is>
          <t>FACT</t>
        </is>
      </c>
      <c r="C10" s="17" t="inlineStr">
        <is>
          <t>국내 AI 헬스케어 시장에서 영상 판독 분야가 전체 매출의 45%를 차지한다.</t>
        </is>
      </c>
      <c r="D10" s="16" t="inlineStr">
        <is>
          <t>verified</t>
        </is>
      </c>
      <c r="E10" s="16" t="n">
        <v>0.99</v>
      </c>
      <c r="F10" s="16" t="n">
        <v>2</v>
      </c>
      <c r="G10" s="16" t="n">
        <v>2</v>
      </c>
      <c r="H10" s="16" t="n">
        <v>2</v>
      </c>
      <c r="I10" s="17" t="inlineStr">
        <is>
          <t>국내 AI 헬스케어 시장에서 영상 판독 분야가 전체 매출의 45%를 차지한다.</t>
        </is>
      </c>
      <c r="J10" s="16" t="inlineStr"/>
    </row>
    <row r="11">
      <c r="A11" s="16" t="n">
        <v>10</v>
      </c>
      <c r="B11" s="16" t="inlineStr">
        <is>
          <t>FACT</t>
        </is>
      </c>
      <c r="C11" s="16" t="inlineStr">
        <is>
          <t>주요 경쟁사는 대형 병원 연계 스타트업과 글로벌 빅테크 기업이다.</t>
        </is>
      </c>
      <c r="D11" s="16" t="inlineStr">
        <is>
          <t>verified</t>
        </is>
      </c>
      <c r="E11" s="16" t="n">
        <v>0.99</v>
      </c>
      <c r="F11" s="16" t="n">
        <v>2</v>
      </c>
      <c r="G11" s="16" t="n">
        <v>2</v>
      </c>
      <c r="H11" s="16" t="n">
        <v>2</v>
      </c>
      <c r="I11" s="16" t="inlineStr">
        <is>
          <t>주요 경쟁사는 대형 병원 연계 스타트업과 글로벌 빅테크 기업이다.</t>
        </is>
      </c>
      <c r="J11" s="16" t="inlineStr"/>
    </row>
    <row r="12">
      <c r="A12" s="16" t="n">
        <v>11</v>
      </c>
      <c r="B12" s="16" t="inlineStr">
        <is>
          <t>FACT</t>
        </is>
      </c>
      <c r="C12" s="17" t="inlineStr">
        <is>
          <t>The AI healthcare models still showed errors in rare disease cases, which remains a key challenge for clinical deployment.</t>
        </is>
      </c>
      <c r="D12" s="16" t="inlineStr">
        <is>
          <t>verified</t>
        </is>
      </c>
      <c r="E12" s="16" t="n">
        <v>0.95</v>
      </c>
      <c r="F12" s="16" t="n">
        <v>3</v>
      </c>
      <c r="G12" s="16" t="n">
        <v>3</v>
      </c>
      <c r="H12" s="16" t="n">
        <v>1</v>
      </c>
      <c r="I12" s="17" t="inlineStr">
        <is>
          <t>The AI healthcare models still showed errors in rare disease cases, which remains a key challenge for clinical deployment.</t>
        </is>
      </c>
      <c r="J12" s="16" t="inlineStr"/>
    </row>
    <row r="13">
      <c r="A13" s="16" t="n">
        <v>12</v>
      </c>
      <c r="B13" s="16" t="inlineStr">
        <is>
          <t>FACT</t>
        </is>
      </c>
      <c r="C13" s="17" t="inlineStr">
        <is>
          <t>In 2020, fewer than 20% of OECD countries had a national strategy on AI in health.</t>
        </is>
      </c>
      <c r="D13" s="16" t="inlineStr">
        <is>
          <t>outdated</t>
        </is>
      </c>
      <c r="E13" s="16" t="n">
        <v>0.8</v>
      </c>
      <c r="F13" s="16" t="inlineStr"/>
      <c r="G13" s="16" t="n">
        <v>4</v>
      </c>
      <c r="H13" s="16" t="n">
        <v>1</v>
      </c>
      <c r="I13" s="17" t="inlineStr">
        <is>
          <t>In 2020, fewer than 20% of OECD countries had a national strategy on AI in health.</t>
        </is>
      </c>
      <c r="J13" s="16" t="inlineStr">
        <is>
          <t>5.6년 전 자료 — 최신성 확인 필요</t>
        </is>
      </c>
    </row>
    <row r="14">
      <c r="A14" s="16" t="n">
        <v>13</v>
      </c>
      <c r="B14" s="16" t="inlineStr">
        <is>
          <t>FACT</t>
        </is>
      </c>
      <c r="C14" s="17" t="inlineStr">
        <is>
          <t>AI healthcare regulation and privacy governance remain policy challenges for governments.</t>
        </is>
      </c>
      <c r="D14" s="16" t="inlineStr">
        <is>
          <t>outdated</t>
        </is>
      </c>
      <c r="E14" s="16" t="n">
        <v>0.8</v>
      </c>
      <c r="F14" s="16" t="inlineStr"/>
      <c r="G14" s="16" t="n">
        <v>4</v>
      </c>
      <c r="H14" s="16" t="n">
        <v>1</v>
      </c>
      <c r="I14" s="17" t="inlineStr">
        <is>
          <t>AI healthcare regulation and privacy governance remain policy challenges for governments.</t>
        </is>
      </c>
      <c r="J14" s="16" t="inlineStr">
        <is>
          <t>5.6년 전 자료 — 최신성 확인 필요</t>
        </is>
      </c>
    </row>
    <row r="15">
      <c r="A15" s="16" t="n">
        <v>14</v>
      </c>
      <c r="B15" s="16" t="inlineStr">
        <is>
          <t>ESTIMATE</t>
        </is>
      </c>
      <c r="C15" s="17" t="inlineStr">
        <is>
          <t>The global AI in healthcare market was valued at 26.6 billion dollars in 2024, according to industry estimates.</t>
        </is>
      </c>
      <c r="D15" s="16" t="inlineStr">
        <is>
          <t>verified</t>
        </is>
      </c>
      <c r="E15" s="16" t="n">
        <v>0.75</v>
      </c>
      <c r="F15" s="16" t="n">
        <v>4</v>
      </c>
      <c r="G15" s="16" t="n">
        <v>5</v>
      </c>
      <c r="H15" s="16" t="n">
        <v>1</v>
      </c>
      <c r="I15" s="17" t="inlineStr">
        <is>
          <t>The global AI in healthcare market was valued at 26.6 billion dollars in 2024, according to industry estimates.</t>
        </is>
      </c>
      <c r="J15" s="16" t="inlineStr"/>
    </row>
    <row r="16">
      <c r="A16" s="16" t="n">
        <v>15</v>
      </c>
      <c r="B16" s="16" t="inlineStr">
        <is>
          <t>FACT</t>
        </is>
      </c>
      <c r="C16" s="17" t="inlineStr">
        <is>
          <t>Big tech companies and startups compete for hospital contracts in the AI healthcare market.</t>
        </is>
      </c>
      <c r="D16" s="16" t="inlineStr">
        <is>
          <t>verified</t>
        </is>
      </c>
      <c r="E16" s="16" t="n">
        <v>0.75</v>
      </c>
      <c r="F16" s="16" t="n">
        <v>4</v>
      </c>
      <c r="G16" s="16" t="n">
        <v>5</v>
      </c>
      <c r="H16" s="16" t="n">
        <v>1</v>
      </c>
      <c r="I16" s="17" t="inlineStr">
        <is>
          <t>Big tech companies and startups compete for hospital contracts in the AI healthcare market.</t>
        </is>
      </c>
      <c r="J16" s="16" t="inlineStr"/>
    </row>
    <row r="17">
      <c r="A17" s="16" t="n">
        <v>16</v>
      </c>
      <c r="B17" s="16" t="inlineStr">
        <is>
          <t>FACT</t>
        </is>
      </c>
      <c r="C17" s="16" t="inlineStr">
        <is>
          <t>국내 AI 헬스케어 시장 규모는 2024년 5조원으로 집계되었다.</t>
        </is>
      </c>
      <c r="D17" s="16" t="inlineStr">
        <is>
          <t>contradicted</t>
        </is>
      </c>
      <c r="E17" s="16" t="n">
        <v>0.6</v>
      </c>
      <c r="F17" s="16" t="inlineStr"/>
      <c r="G17" s="16" t="n">
        <v>7</v>
      </c>
      <c r="H17" s="16" t="n">
        <v>1</v>
      </c>
      <c r="I17" s="16" t="inlineStr">
        <is>
          <t>국내 AI 헬스케어 시장 규모는 2024년 5조원으로 집계되었다.</t>
        </is>
      </c>
      <c r="J17" s="16" t="inlineStr">
        <is>
          <t>상위·교차확인 출처(#1)와 수치 충돌</t>
        </is>
      </c>
    </row>
    <row r="18">
      <c r="A18" s="16" t="n">
        <v>17</v>
      </c>
      <c r="B18" s="16" t="inlineStr">
        <is>
          <t>OPINION</t>
        </is>
      </c>
      <c r="C18" s="16" t="inlineStr">
        <is>
          <t>누구나 AI 헬스케어로 큰 돈을 벌 수 있다고 생각한다.</t>
        </is>
      </c>
      <c r="D18" s="16" t="inlineStr">
        <is>
          <t>verified</t>
        </is>
      </c>
      <c r="E18" s="16" t="n">
        <v>0.6</v>
      </c>
      <c r="F18" s="16" t="inlineStr"/>
      <c r="G18" s="16" t="n">
        <v>7</v>
      </c>
      <c r="H18" s="16" t="n">
        <v>1</v>
      </c>
      <c r="I18" s="16" t="inlineStr">
        <is>
          <t>누구나 AI 헬스케어로 큰 돈을 벌 수 있다고 생각한다.</t>
        </is>
      </c>
      <c r="J18" s="16" t="inlineStr"/>
    </row>
  </sheetData>
  <autoFilter ref="A1:J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24" customWidth="1" min="4" max="4"/>
    <col width="19" customWidth="1" min="5" max="5"/>
    <col width="10" customWidth="1" min="6" max="6"/>
    <col width="12" customWidth="1" min="7" max="7"/>
    <col width="12" customWidth="1" min="8" max="8"/>
    <col width="8" customWidth="1" min="9" max="9"/>
    <col width="50" customWidth="1" min="10" max="10"/>
    <col width="54" customWidth="1" min="11" max="11"/>
  </cols>
  <sheetData>
    <row r="1">
      <c r="A1" s="7" t="inlineStr">
        <is>
          <t>ID</t>
        </is>
      </c>
      <c r="B1" s="7" t="inlineStr">
        <is>
          <t>인용 번호</t>
        </is>
      </c>
      <c r="C1" s="7" t="inlineStr">
        <is>
          <t>제목</t>
        </is>
      </c>
      <c r="D1" s="7" t="inlineStr">
        <is>
          <t>발행처</t>
        </is>
      </c>
      <c r="E1" s="7" t="inlineStr">
        <is>
          <t>유형</t>
        </is>
      </c>
      <c r="F1" s="7" t="inlineStr">
        <is>
          <t>등급(1=정부)</t>
        </is>
      </c>
      <c r="G1" s="7" t="inlineStr">
        <is>
          <t>발행일</t>
        </is>
      </c>
      <c r="H1" s="7" t="inlineStr">
        <is>
          <t>접근일</t>
        </is>
      </c>
      <c r="I1" s="7" t="inlineStr">
        <is>
          <t>원문 확인</t>
        </is>
      </c>
      <c r="J1" s="7" t="inlineStr">
        <is>
          <t>URL</t>
        </is>
      </c>
      <c r="K1" s="7" t="inlineStr">
        <is>
          <t>오류</t>
        </is>
      </c>
    </row>
    <row r="2">
      <c r="A2" s="16" t="n">
        <v>1</v>
      </c>
      <c r="B2" s="16" t="n">
        <v>1</v>
      </c>
      <c r="C2" s="16" t="inlineStr">
        <is>
          <t>보건복지부 AI 헬스케어 육성 정책 발표</t>
        </is>
      </c>
      <c r="D2" s="16" t="inlineStr">
        <is>
          <t>보건복지부</t>
        </is>
      </c>
      <c r="E2" s="16" t="inlineStr">
        <is>
          <t>government</t>
        </is>
      </c>
      <c r="F2" s="16" t="n">
        <v>1</v>
      </c>
      <c r="G2" s="16" t="inlineStr">
        <is>
          <t>2025-03-10</t>
        </is>
      </c>
      <c r="H2" s="16" t="inlineStr">
        <is>
          <t>2026-09-26</t>
        </is>
      </c>
      <c r="I2" s="16" t="inlineStr">
        <is>
          <t>Y</t>
        </is>
      </c>
      <c r="J2" s="17" t="inlineStr">
        <is>
          <t>https://www.mohw.go.kr/policy/ai-healthcare-2025</t>
        </is>
      </c>
      <c r="K2" s="16" t="inlineStr"/>
    </row>
    <row r="3">
      <c r="A3" s="16" t="n">
        <v>2</v>
      </c>
      <c r="B3" s="16" t="n">
        <v>2</v>
      </c>
      <c r="C3" s="16" t="inlineStr">
        <is>
          <t>AI 헬스케어 시장 분석 보고서 2025</t>
        </is>
      </c>
      <c r="D3" s="16" t="inlineStr">
        <is>
          <t>kdi.re.kr</t>
        </is>
      </c>
      <c r="E3" s="16" t="inlineStr">
        <is>
          <t>government</t>
        </is>
      </c>
      <c r="F3" s="16" t="n">
        <v>1</v>
      </c>
      <c r="G3" s="16" t="inlineStr">
        <is>
          <t>2025-05-20</t>
        </is>
      </c>
      <c r="H3" s="16" t="inlineStr">
        <is>
          <t>2026-09-26</t>
        </is>
      </c>
      <c r="I3" s="16" t="inlineStr">
        <is>
          <t>Y</t>
        </is>
      </c>
      <c r="J3" s="17" t="inlineStr">
        <is>
          <t>https://www.kdi.re.kr/report/ai-health-market-2025.pdf</t>
        </is>
      </c>
      <c r="K3" s="16" t="inlineStr"/>
    </row>
    <row r="4">
      <c r="A4" s="16" t="n">
        <v>3</v>
      </c>
      <c r="B4" s="16" t="n">
        <v>3</v>
      </c>
      <c r="C4" s="17" t="inlineStr">
        <is>
          <t>Evaluating Large Language Models on Medical Licensing Exams</t>
        </is>
      </c>
      <c r="D4" s="16" t="inlineStr">
        <is>
          <t>arxiv.org</t>
        </is>
      </c>
      <c r="E4" s="16" t="inlineStr">
        <is>
          <t>academic</t>
        </is>
      </c>
      <c r="F4" s="16" t="n">
        <v>3</v>
      </c>
      <c r="G4" s="16" t="inlineStr">
        <is>
          <t>2025-01-15</t>
        </is>
      </c>
      <c r="H4" s="16" t="inlineStr">
        <is>
          <t>2026-09-26</t>
        </is>
      </c>
      <c r="I4" s="16" t="inlineStr">
        <is>
          <t>Y</t>
        </is>
      </c>
      <c r="J4" s="16" t="inlineStr">
        <is>
          <t>https://arxiv.org/abs/2501.01234</t>
        </is>
      </c>
      <c r="K4" s="16" t="inlineStr"/>
    </row>
    <row r="5">
      <c r="A5" s="16" t="n">
        <v>4</v>
      </c>
      <c r="B5" s="16" t="inlineStr"/>
      <c r="C5" s="16" t="inlineStr">
        <is>
          <t>OECD: Artificial intelligence in health</t>
        </is>
      </c>
      <c r="D5" s="16" t="inlineStr">
        <is>
          <t>oecd.org</t>
        </is>
      </c>
      <c r="E5" s="16" t="inlineStr">
        <is>
          <t>international_org</t>
        </is>
      </c>
      <c r="F5" s="16" t="n">
        <v>4</v>
      </c>
      <c r="G5" s="16" t="inlineStr">
        <is>
          <t>2021-02-01</t>
        </is>
      </c>
      <c r="H5" s="16" t="inlineStr">
        <is>
          <t>2026-09-26</t>
        </is>
      </c>
      <c r="I5" s="16" t="inlineStr">
        <is>
          <t>Y</t>
        </is>
      </c>
      <c r="J5" s="17" t="inlineStr">
        <is>
          <t>https://www.oecd.org/health/ai-in-health-2021</t>
        </is>
      </c>
      <c r="K5" s="16" t="inlineStr"/>
    </row>
    <row r="6">
      <c r="A6" s="16" t="n">
        <v>5</v>
      </c>
      <c r="B6" s="16" t="n">
        <v>4</v>
      </c>
      <c r="C6" s="17" t="inlineStr">
        <is>
          <t>Global AI healthcare market keeps growing</t>
        </is>
      </c>
      <c r="D6" s="16" t="inlineStr">
        <is>
          <t>reuters.com</t>
        </is>
      </c>
      <c r="E6" s="16" t="inlineStr">
        <is>
          <t>media</t>
        </is>
      </c>
      <c r="F6" s="16" t="n">
        <v>6</v>
      </c>
      <c r="G6" s="16" t="inlineStr">
        <is>
          <t>2025-06-01</t>
        </is>
      </c>
      <c r="H6" s="16" t="inlineStr">
        <is>
          <t>2026-09-26</t>
        </is>
      </c>
      <c r="I6" s="16" t="inlineStr">
        <is>
          <t>Y</t>
        </is>
      </c>
      <c r="J6" s="17" t="inlineStr">
        <is>
          <t>https://www.reuters.com/technology/ai-healthcare-market-2025</t>
        </is>
      </c>
      <c r="K6" s="16" t="inlineStr"/>
    </row>
    <row r="7">
      <c r="A7" s="16" t="n">
        <v>6</v>
      </c>
      <c r="B7" s="16" t="inlineStr"/>
      <c r="C7" s="16" t="inlineStr">
        <is>
          <t>AI 헬스케어 유료 기사</t>
        </is>
      </c>
      <c r="D7" s="16" t="inlineStr">
        <is>
          <t>paywalled-news.invalid</t>
        </is>
      </c>
      <c r="E7" s="16" t="inlineStr">
        <is>
          <t>media</t>
        </is>
      </c>
      <c r="F7" s="16" t="n">
        <v>6</v>
      </c>
      <c r="G7" s="16" t="inlineStr">
        <is>
          <t>2025-02-02</t>
        </is>
      </c>
      <c r="H7" s="16" t="inlineStr">
        <is>
          <t>2026-09-26</t>
        </is>
      </c>
      <c r="I7" s="16" t="inlineStr">
        <is>
          <t>N</t>
        </is>
      </c>
      <c r="J7" s="17" t="inlineStr">
        <is>
          <t>https://www.paywalled-news.invalid/ai-healthcare</t>
        </is>
      </c>
      <c r="K7" s="17" t="inlineStr">
        <is>
          <t>DNS resolution failed for www.paywalled-news.invalid</t>
        </is>
      </c>
    </row>
    <row r="8">
      <c r="A8" s="16" t="n">
        <v>7</v>
      </c>
      <c r="B8" s="16" t="inlineStr"/>
      <c r="C8" s="16" t="inlineStr">
        <is>
          <t>AI 헬스케어 시장 대박 전망</t>
        </is>
      </c>
      <c r="D8" s="16" t="inlineStr">
        <is>
          <t>blog.example.com</t>
        </is>
      </c>
      <c r="E8" s="16" t="inlineStr">
        <is>
          <t>other</t>
        </is>
      </c>
      <c r="F8" s="16" t="n">
        <v>7</v>
      </c>
      <c r="G8" s="16" t="inlineStr">
        <is>
          <t>2025-04-02</t>
        </is>
      </c>
      <c r="H8" s="16" t="inlineStr">
        <is>
          <t>2026-09-26</t>
        </is>
      </c>
      <c r="I8" s="16" t="inlineStr">
        <is>
          <t>Y</t>
        </is>
      </c>
      <c r="J8" s="17" t="inlineStr">
        <is>
          <t>https://blog.example.com/ai-healthcare-hype</t>
        </is>
      </c>
      <c r="K8" s="16" t="inlineStr"/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2026-09-26T17:58:50Z</dcterms:created>
  <dcterms:modified xmlns:dcterms="http://purl.org/dc/terms/" xmlns:xsi="http://www.w3.org/2001/XMLSchema-instance" xsi:type="dcterms:W3CDTF">2026-09-26T17:58:50Z</dcterms:modified>
</cp:coreProperties>
</file>